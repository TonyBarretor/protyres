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updateLinks="never"/>
  <mc:AlternateContent xmlns:mc="http://schemas.openxmlformats.org/markup-compatibility/2006">
    <mc:Choice Requires="x15">
      <x15ac:absPath xmlns:x15ac="http://schemas.microsoft.com/office/spreadsheetml/2010/11/ac" url="G:\Otros ordenadores\Mi portátil\Frank Melek\2026\Clientes\Prosegur\Octubre\Cotizaciones\Prosegur\"/>
    </mc:Choice>
  </mc:AlternateContent>
  <xr:revisionPtr revIDLastSave="0" documentId="8_{DFADA8A4-71A6-468B-BD39-102739B9EC3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ormato Proveedores (2)" sheetId="3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3" l="1"/>
  <c r="L19" i="3"/>
  <c r="L30" i="3" l="1"/>
  <c r="L31" i="3" l="1"/>
  <c r="L32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Alberto Herminio Eguizabal</author>
  </authors>
  <commentList>
    <comment ref="G5" authorId="0" shapeId="0" xr:uid="{A32631D2-0057-4913-9881-86C309CC83D0}">
      <text>
        <r>
          <rPr>
            <b/>
            <sz val="9"/>
            <color indexed="81"/>
            <rFont val="Tahoma"/>
            <family val="2"/>
          </rPr>
          <t>No debe exisitir repeticiones.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8" authorId="0" shapeId="0" xr:uid="{2F0B114D-2D80-4140-B0B0-FC06F74B86B5}">
      <text>
        <r>
          <rPr>
            <sz val="9"/>
            <color indexed="81"/>
            <rFont val="Tahoma"/>
            <family val="2"/>
          </rPr>
          <t xml:space="preserve">LIMA
AREQUIPA
AYACUCHO
CHICLAYO
CHIMBOTE
CHINCHA
CUSCO
HUACHO
HUANCAYO
HUANUCO
ICA
IQUITOS
JAEN
JULIACA
PIURA
PUCALLPA
TARAPOTO
TRUJILLO
TUMBES
</t>
        </r>
      </text>
    </comment>
    <comment ref="C18" authorId="0" shapeId="0" xr:uid="{99A07048-A029-4AE9-9969-5522366E2EC2}">
      <text>
        <r>
          <rPr>
            <b/>
            <sz val="9"/>
            <color indexed="81"/>
            <rFont val="Tahoma"/>
            <family val="2"/>
          </rPr>
          <t>Sólo debe figurar una UB por artículo.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8" authorId="0" shapeId="0" xr:uid="{45C2F79C-B962-4CD4-AD7B-F8E03B1BEED7}">
      <text>
        <r>
          <rPr>
            <sz val="9"/>
            <color indexed="81"/>
            <rFont val="Tahoma"/>
            <family val="2"/>
          </rPr>
          <t xml:space="preserve">DIRECCION
SUSPENSION
TRANSMISION
DIFERENCIAL
MOTOR
REFRIGERACION
LLANTAS
CARROCERIA
AIRE ACONDICIONADO
INYECCION
FRENOS
SEGURIDAD ELECTRONICA
</t>
        </r>
      </text>
    </comment>
    <comment ref="H18" authorId="0" shapeId="0" xr:uid="{C6CA8AFF-D547-44EC-BB33-D546DEF6D4B1}">
      <text>
        <r>
          <rPr>
            <b/>
            <sz val="9"/>
            <color indexed="81"/>
            <rFont val="Tahoma"/>
            <family val="2"/>
          </rPr>
          <t xml:space="preserve">LTS (Litros)
GLS (Galones)
UNI (Unidades)
MTS (Metros)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8" authorId="0" shapeId="0" xr:uid="{8C2E4E5C-D95F-405B-9D65-1A19FE1A3DE5}">
      <text>
        <r>
          <rPr>
            <b/>
            <sz val="9"/>
            <color indexed="81"/>
            <rFont val="Tahoma"/>
            <family val="2"/>
          </rPr>
          <t>REPUESTO
SERVICIO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8" authorId="0" shapeId="0" xr:uid="{F22A585D-2283-4E0D-8D32-4C728D982454}">
      <text>
        <r>
          <rPr>
            <b/>
            <sz val="9"/>
            <color indexed="81"/>
            <rFont val="Tahoma"/>
            <family val="2"/>
          </rPr>
          <t>PEN  (precio en soles)
USD (Precio en dólares)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8" authorId="0" shapeId="0" xr:uid="{3E249525-DBA6-4F26-A5F0-6EE629A80838}">
      <text>
        <r>
          <rPr>
            <b/>
            <sz val="9"/>
            <color indexed="81"/>
            <rFont val="Tahoma"/>
            <family val="2"/>
          </rPr>
          <t>Precios Unitarios sin IGV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<sst xmlns="http://schemas.openxmlformats.org/spreadsheetml/2006/main" count="49" uniqueCount="46">
  <si>
    <t>Ubicación</t>
  </si>
  <si>
    <t>UB</t>
  </si>
  <si>
    <t>Sistema</t>
  </si>
  <si>
    <t>Descripción del producto o servicio</t>
  </si>
  <si>
    <t>Cantidad</t>
  </si>
  <si>
    <t>Total</t>
  </si>
  <si>
    <t>Obligatorio mencionar si incluye o no IGV</t>
  </si>
  <si>
    <t>P. Unitario</t>
  </si>
  <si>
    <t>Sub Total</t>
  </si>
  <si>
    <t>I.G.V.</t>
  </si>
  <si>
    <t>Tipo Artículo</t>
  </si>
  <si>
    <t>Código Producto</t>
  </si>
  <si>
    <t>Obligatorio mencionar el tipo de moneda</t>
  </si>
  <si>
    <t>Item</t>
  </si>
  <si>
    <t>Proveedor:</t>
  </si>
  <si>
    <t>Cotización N°</t>
  </si>
  <si>
    <t>RUC Proveedor:</t>
  </si>
  <si>
    <t>COTIZACIÓN PROVEEDORES</t>
  </si>
  <si>
    <t>Moneda</t>
  </si>
  <si>
    <t>P. Total SIN IGV</t>
  </si>
  <si>
    <t>REPUESTO</t>
  </si>
  <si>
    <t>GESTIÓN DE FLOTA CASH</t>
  </si>
  <si>
    <t>Versión: 02-2023</t>
  </si>
  <si>
    <t>UM</t>
  </si>
  <si>
    <t>Técnico que realiza el servicio</t>
  </si>
  <si>
    <t>DNI</t>
  </si>
  <si>
    <t>Unidad atendida</t>
  </si>
  <si>
    <t>Solicitante de servicio</t>
  </si>
  <si>
    <t>Fecha Cotización</t>
  </si>
  <si>
    <t>Fecha inicio de servicio</t>
  </si>
  <si>
    <t>Hora inicio de servicio</t>
  </si>
  <si>
    <t>Fecha fin de servicio</t>
  </si>
  <si>
    <t>Hora fin de servicio</t>
  </si>
  <si>
    <t>V.B. de servicio</t>
  </si>
  <si>
    <t>Fecha de V.B.</t>
  </si>
  <si>
    <t>N° Formato: FCRP 31/07/2023</t>
  </si>
  <si>
    <t>Reporte</t>
  </si>
  <si>
    <t>Diagnóstico</t>
  </si>
  <si>
    <t>PROFESSIONAL TYRES S.A.C.</t>
  </si>
  <si>
    <t>UNI</t>
  </si>
  <si>
    <t>USD</t>
  </si>
  <si>
    <t>LLANTAS</t>
  </si>
  <si>
    <t>AYACUCHO</t>
  </si>
  <si>
    <t>215/75R17.5 18PR FENIXWAY VALOR 99</t>
  </si>
  <si>
    <t>JOHANN CASTANEDA</t>
  </si>
  <si>
    <t>Nombre de Archivo: 151026-1830-AYACUCHO-PROFESSIONAL TYRES S.A.C.-451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</si>
</sst>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S/&quot;#,##0.00"/>
    <numFmt numFmtId="165" formatCode="_-[$S/-280A]\ * #,##0.00_-;\-[$S/-280A]\ * #,##0.00_-;_-[$S/-280A]\ * &quot;-&quot;??_-;_-@_-"/>
    <numFmt numFmtId="166" formatCode="_-[$USD]\ * #,##0.0_-;\-[$USD]\ * #,##0.0_-;_-[$USD]\ * &quot;-&quot;?_-;_-@_-"/>
    <numFmt numFmtId="167" formatCode="_-[$USD]\ * #,##0.00_-;\-[$USD]\ * #,##0.00_-;_-[$USD]\ * &quot;-&quot;??_-;_-@_-"/>
  </numFmts>
  <fonts count="8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Tahoma"/>
      <family val="2"/>
    </font>
    <font>
      <sz val="9"/>
      <color theme="1"/>
      <name val="Tahoma"/>
      <family val="2"/>
    </font>
    <font>
      <b/>
      <sz val="9"/>
      <color theme="1"/>
      <name val="Tahoma"/>
      <family val="2"/>
    </font>
    <font>
      <sz val="4"/>
      <color theme="1"/>
      <name val="Tahoma"/>
      <family val="2"/>
    </font>
    <font>
      <b/>
      <sz val="4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FFC000"/>
        <bgColor theme="8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4" fillId="0" borderId="0" xfId="0" applyFont="1"/>
    <xf numFmtId="0" fontId="4" fillId="0" borderId="2" xfId="0" applyFont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0" xfId="0" applyFont="1" applyBorder="1" applyAlignment="1">
      <alignment horizontal="center"/>
    </xf>
    <xf numFmtId="0" fontId="4" fillId="2" borderId="9" xfId="0" applyFont="1" applyFill="1" applyBorder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165" fontId="4" fillId="0" borderId="0" xfId="0" applyNumberFormat="1" applyFont="1"/>
    <xf numFmtId="0" fontId="5" fillId="2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right" vertical="center"/>
    </xf>
    <xf numFmtId="14" fontId="6" fillId="0" borderId="0" xfId="0" applyNumberFormat="1" applyFont="1" applyAlignment="1">
      <alignment horizontal="center" vertical="center"/>
    </xf>
    <xf numFmtId="166" fontId="4" fillId="0" borderId="2" xfId="0" applyNumberFormat="1" applyFont="1" applyBorder="1" applyAlignment="1">
      <alignment horizontal="center" vertical="center"/>
    </xf>
    <xf numFmtId="167" fontId="5" fillId="0" borderId="9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14" fontId="4" fillId="0" borderId="8" xfId="0" applyNumberFormat="1" applyFont="1" applyBorder="1" applyAlignment="1">
      <alignment horizontal="center" vertical="center"/>
    </xf>
    <xf numFmtId="20" fontId="4" fillId="0" borderId="2" xfId="0" applyNumberFormat="1" applyFont="1" applyBorder="1" applyAlignment="1">
      <alignment horizontal="center" vertical="center"/>
    </xf>
    <xf numFmtId="20" fontId="4" fillId="0" borderId="6" xfId="0" applyNumberFormat="1" applyFont="1" applyBorder="1" applyAlignment="1">
      <alignment horizontal="center" vertical="center"/>
    </xf>
    <xf numFmtId="20" fontId="4" fillId="0" borderId="8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198120</xdr:colOff>
      <xdr:row>0</xdr:row>
      <xdr:rowOff>15239</xdr:rowOff>
    </xdr:from>
    <xdr:to>
      <xdr:col>3</xdr:col>
      <xdr:colOff>609600</xdr:colOff>
      <xdr:row>2</xdr:row>
      <xdr:rowOff>87010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496DAFD-C95D-4834-9848-7576FDF5691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473" b="27724"/>
        <a:stretch/>
      </xdr:blipFill>
      <xdr:spPr bwMode="auto">
        <a:xfrm>
          <a:off x="198120" y="15239"/>
          <a:ext cx="2316480" cy="399431"/>
        </a:xfrm>
        <a:prstGeom prst="rect">
          <a:avLst/>
        </a:prstGeom>
        <a:noFill/>
        <a:ln w="12700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E01014491\Downloads\V2%20-%20Data%20Load%20-%20OOracl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I Creados"/>
      <sheetName val="OT28"/>
      <sheetName val="OT27"/>
      <sheetName val="OT26"/>
      <sheetName val="OT25"/>
      <sheetName val="OT24"/>
      <sheetName val="OT23"/>
      <sheetName val="OT22"/>
      <sheetName val="OT21"/>
      <sheetName val="OT20"/>
      <sheetName val="OT19"/>
      <sheetName val="OT18"/>
      <sheetName val="OT17"/>
      <sheetName val="OT16"/>
      <sheetName val="OT15"/>
      <sheetName val="OT14"/>
      <sheetName val="OT13"/>
      <sheetName val="OT12"/>
      <sheetName val="OT11"/>
      <sheetName val="OT10"/>
      <sheetName val="OT9"/>
      <sheetName val="OT8"/>
      <sheetName val="OT7"/>
      <sheetName val="OT6"/>
      <sheetName val="OT5"/>
      <sheetName val="OT4"/>
      <sheetName val="OT3"/>
      <sheetName val="OT2"/>
      <sheetName val="OT1"/>
      <sheetName val="INICIO"/>
      <sheetName val="PROV1"/>
      <sheetName val="PROV2"/>
      <sheetName val="PROV3"/>
      <sheetName val="PROV4"/>
      <sheetName val="PROV5"/>
      <sheetName val="PROV6"/>
      <sheetName val="PROV7"/>
      <sheetName val="PROV8"/>
      <sheetName val="PROV9"/>
      <sheetName val="PROV10"/>
      <sheetName val="PROV11"/>
      <sheetName val="PROV12"/>
      <sheetName val="PROV13"/>
      <sheetName val="PROV14"/>
      <sheetName val="PROV15"/>
      <sheetName val="PROV16"/>
      <sheetName val="PROV17"/>
      <sheetName val="PROV18"/>
      <sheetName val="PROV19"/>
      <sheetName val="PROV20"/>
      <sheetName val="PROV21"/>
      <sheetName val="PROV22"/>
      <sheetName val="PROV23"/>
      <sheetName val="PROV24"/>
      <sheetName val="PROV25"/>
      <sheetName val="PROV26"/>
      <sheetName val="PROV27"/>
      <sheetName val="PROV28"/>
      <sheetName val="SOLES"/>
      <sheetName val="OT SOLES"/>
      <sheetName val="DOLAR"/>
      <sheetName val="Hoja2"/>
      <sheetName val="Hoja1"/>
      <sheetName val="OT DOL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A9B57-F5A1-4665-8D0E-2EB9699AB6CA}">
  <dimension ref="A1:L39"/>
  <sheetViews>
    <sheetView tabSelected="1" topLeftCell="A6" zoomScaleNormal="100" zoomScaleSheetLayoutView="100" workbookViewId="0">
      <selection activeCell="E2" sqref="E2:J2"/>
    </sheetView>
  </sheetViews>
  <sheetFormatPr baseColWidth="10" defaultColWidth="11.5703125" defaultRowHeight="11.25" x14ac:dyDescent="0.15"/>
  <cols>
    <col min="1" max="1" width="7.42578125" style="1" customWidth="1"/>
    <col min="2" max="2" width="11.42578125" style="1" customWidth="1"/>
    <col min="3" max="3" width="9" style="1" customWidth="1"/>
    <col min="4" max="4" width="12.42578125" style="1" customWidth="1"/>
    <col min="5" max="5" width="13.5703125" style="1" customWidth="1"/>
    <col min="6" max="6" width="51.42578125" style="1" customWidth="1"/>
    <col min="7" max="7" width="8.42578125" style="1" bestFit="1" customWidth="1"/>
    <col min="8" max="8" width="4.140625" style="1" bestFit="1" customWidth="1"/>
    <col min="9" max="9" width="11.5703125" style="1" bestFit="1" customWidth="1"/>
    <col min="10" max="10" width="8.85546875" style="1" customWidth="1"/>
    <col min="11" max="11" width="9.85546875" style="1" bestFit="1" customWidth="1"/>
    <col min="12" max="12" width="14.5703125" style="1" bestFit="1" customWidth="1"/>
    <col min="13" max="16384" width="11.5703125" style="1"/>
  </cols>
  <sheetData>
    <row r="1" spans="1:12" x14ac:dyDescent="0.15">
      <c r="A1" s="28"/>
      <c r="B1" s="28"/>
      <c r="C1" s="28"/>
      <c r="D1" s="29"/>
      <c r="E1" s="32" t="s">
        <v>45</v>
      </c>
      <c r="F1" s="30"/>
      <c r="G1" s="30"/>
      <c r="H1" s="30"/>
      <c r="I1" s="30"/>
      <c r="J1" s="31"/>
      <c r="K1" s="33" t="s">
        <v>35</v>
      </c>
      <c r="L1" s="33"/>
    </row>
    <row r="2" spans="1:12" ht="14.45" customHeight="1" x14ac:dyDescent="0.15">
      <c r="A2" s="28"/>
      <c r="B2" s="28"/>
      <c r="C2" s="28"/>
      <c r="D2" s="29"/>
      <c r="E2" s="34" t="s">
        <v>21</v>
      </c>
      <c r="F2" s="35"/>
      <c r="G2" s="35"/>
      <c r="H2" s="35"/>
      <c r="I2" s="35"/>
      <c r="J2" s="36"/>
      <c r="K2" s="33"/>
      <c r="L2" s="33"/>
    </row>
    <row r="3" spans="1:12" ht="14.25" x14ac:dyDescent="0.15">
      <c r="A3" s="30"/>
      <c r="B3" s="30"/>
      <c r="C3" s="30"/>
      <c r="D3" s="31"/>
      <c r="E3" s="34" t="s">
        <v>17</v>
      </c>
      <c r="F3" s="35"/>
      <c r="G3" s="35"/>
      <c r="H3" s="35"/>
      <c r="I3" s="35"/>
      <c r="J3" s="36"/>
      <c r="K3" s="33" t="s">
        <v>22</v>
      </c>
      <c r="L3" s="33"/>
    </row>
    <row r="4" spans="1:12" s="23" customFormat="1" ht="6.75" x14ac:dyDescent="0.15">
      <c r="A4" s="17"/>
      <c r="B4" s="17"/>
      <c r="C4" s="17"/>
      <c r="D4" s="18"/>
      <c r="E4" s="19"/>
      <c r="F4" s="20"/>
      <c r="G4" s="20"/>
      <c r="H4" s="20"/>
      <c r="I4" s="21"/>
      <c r="J4" s="21"/>
      <c r="K4" s="22"/>
      <c r="L4" s="22"/>
    </row>
    <row r="5" spans="1:12" x14ac:dyDescent="0.15">
      <c r="A5" s="37" t="s">
        <v>14</v>
      </c>
      <c r="B5" s="37"/>
      <c r="C5" s="38" t="s">
        <v>38</v>
      </c>
      <c r="D5" s="38"/>
      <c r="E5" s="38"/>
      <c r="F5" s="15" t="s">
        <v>15</v>
      </c>
      <c r="G5" s="33">
        <v>451</v>
      </c>
      <c r="H5" s="33"/>
      <c r="I5" s="37" t="s">
        <v>27</v>
      </c>
      <c r="J5" s="37"/>
      <c r="K5" s="33" t="s">
        <v>44</v>
      </c>
      <c r="L5" s="33"/>
    </row>
    <row r="6" spans="1:12" x14ac:dyDescent="0.15">
      <c r="A6" s="37" t="s">
        <v>16</v>
      </c>
      <c r="B6" s="37"/>
      <c r="C6" s="38">
        <v>20565716396</v>
      </c>
      <c r="D6" s="38"/>
      <c r="E6" s="38"/>
      <c r="F6" s="15" t="s">
        <v>26</v>
      </c>
      <c r="G6" s="39" t="s">
        <v>42</v>
      </c>
      <c r="H6" s="39"/>
      <c r="I6" s="37" t="s">
        <v>28</v>
      </c>
      <c r="J6" s="37"/>
      <c r="K6" s="40">
        <f ca="1">TODAY()</f>
        <v>46310</v>
      </c>
      <c r="L6" s="33"/>
    </row>
    <row r="7" spans="1:12" s="23" customFormat="1" ht="6.75" x14ac:dyDescent="0.15">
      <c r="A7" s="21"/>
      <c r="B7" s="21"/>
      <c r="C7" s="21"/>
      <c r="D7" s="21"/>
      <c r="E7" s="21"/>
      <c r="F7" s="21"/>
      <c r="G7" s="21"/>
      <c r="H7" s="21"/>
      <c r="I7" s="24"/>
      <c r="J7" s="24"/>
      <c r="K7" s="25"/>
      <c r="L7" s="22"/>
    </row>
    <row r="8" spans="1:12" x14ac:dyDescent="0.15">
      <c r="A8" s="37" t="s">
        <v>36</v>
      </c>
      <c r="B8" s="37"/>
      <c r="C8" s="38"/>
      <c r="D8" s="38"/>
      <c r="E8" s="38"/>
      <c r="F8" s="38"/>
      <c r="G8" s="38"/>
      <c r="H8" s="38"/>
      <c r="I8" s="38"/>
      <c r="J8" s="38"/>
      <c r="K8" s="38"/>
      <c r="L8" s="38"/>
    </row>
    <row r="9" spans="1:12" x14ac:dyDescent="0.15">
      <c r="A9" s="37" t="s">
        <v>37</v>
      </c>
      <c r="B9" s="37"/>
      <c r="C9" s="38"/>
      <c r="D9" s="38"/>
      <c r="E9" s="38"/>
      <c r="F9" s="38"/>
      <c r="G9" s="38"/>
      <c r="H9" s="38"/>
      <c r="I9" s="38"/>
      <c r="J9" s="38"/>
      <c r="K9" s="38"/>
      <c r="L9" s="38"/>
    </row>
    <row r="10" spans="1:12" s="23" customFormat="1" ht="6.75" x14ac:dyDescent="0.15">
      <c r="A10" s="21"/>
      <c r="B10" s="21"/>
      <c r="C10" s="21"/>
      <c r="D10" s="21"/>
      <c r="E10" s="21"/>
      <c r="F10" s="21"/>
      <c r="G10" s="21"/>
      <c r="H10" s="21"/>
      <c r="I10" s="24"/>
      <c r="J10" s="24"/>
      <c r="K10" s="25"/>
      <c r="L10" s="22"/>
    </row>
    <row r="11" spans="1:12" x14ac:dyDescent="0.15">
      <c r="A11" s="41" t="s">
        <v>29</v>
      </c>
      <c r="B11" s="42"/>
      <c r="C11" s="43"/>
      <c r="D11" s="40"/>
      <c r="E11" s="40"/>
      <c r="F11" s="16" t="s">
        <v>31</v>
      </c>
      <c r="G11" s="44"/>
      <c r="H11" s="45"/>
      <c r="I11" s="37" t="s">
        <v>33</v>
      </c>
      <c r="J11" s="37"/>
      <c r="K11" s="33"/>
      <c r="L11" s="33"/>
    </row>
    <row r="12" spans="1:12" x14ac:dyDescent="0.15">
      <c r="A12" s="41" t="s">
        <v>30</v>
      </c>
      <c r="B12" s="42"/>
      <c r="C12" s="43"/>
      <c r="D12" s="46"/>
      <c r="E12" s="46"/>
      <c r="F12" s="16" t="s">
        <v>32</v>
      </c>
      <c r="G12" s="47"/>
      <c r="H12" s="48"/>
      <c r="I12" s="37" t="s">
        <v>34</v>
      </c>
      <c r="J12" s="37"/>
      <c r="K12" s="40"/>
      <c r="L12" s="33"/>
    </row>
    <row r="13" spans="1:12" s="23" customFormat="1" ht="6.75" x14ac:dyDescent="0.15">
      <c r="E13" s="21"/>
      <c r="G13" s="21"/>
      <c r="J13" s="24"/>
      <c r="K13" s="25"/>
      <c r="L13" s="22"/>
    </row>
    <row r="14" spans="1:12" x14ac:dyDescent="0.15">
      <c r="A14" s="37" t="s">
        <v>24</v>
      </c>
      <c r="B14" s="37"/>
      <c r="C14" s="37"/>
      <c r="D14" s="15">
        <v>1</v>
      </c>
      <c r="E14" s="38"/>
      <c r="F14" s="38"/>
      <c r="G14" s="15" t="s">
        <v>25</v>
      </c>
      <c r="H14" s="38"/>
      <c r="I14" s="38"/>
      <c r="J14" s="38"/>
      <c r="K14" s="3"/>
      <c r="L14" s="4"/>
    </row>
    <row r="15" spans="1:12" x14ac:dyDescent="0.15">
      <c r="A15" s="37"/>
      <c r="B15" s="37"/>
      <c r="C15" s="37"/>
      <c r="D15" s="15">
        <v>2</v>
      </c>
      <c r="E15" s="38"/>
      <c r="F15" s="38"/>
      <c r="G15" s="15" t="s">
        <v>25</v>
      </c>
      <c r="H15" s="38"/>
      <c r="I15" s="38"/>
      <c r="J15" s="38"/>
      <c r="K15" s="3"/>
      <c r="L15" s="4"/>
    </row>
    <row r="16" spans="1:12" x14ac:dyDescent="0.15">
      <c r="A16" s="37"/>
      <c r="B16" s="37"/>
      <c r="C16" s="37"/>
      <c r="D16" s="15">
        <v>3</v>
      </c>
      <c r="E16" s="38"/>
      <c r="F16" s="38"/>
      <c r="G16" s="15" t="s">
        <v>25</v>
      </c>
      <c r="H16" s="38"/>
      <c r="I16" s="38"/>
      <c r="J16" s="38"/>
      <c r="K16" s="3"/>
      <c r="L16" s="4"/>
    </row>
    <row r="17" spans="1:12" s="23" customFormat="1" ht="6.75" x14ac:dyDescent="0.15">
      <c r="A17" s="21"/>
      <c r="B17" s="21"/>
      <c r="C17" s="21"/>
      <c r="D17" s="21"/>
      <c r="E17" s="21"/>
      <c r="F17" s="21"/>
      <c r="G17" s="21"/>
      <c r="H17" s="21"/>
      <c r="I17" s="24"/>
      <c r="J17" s="24"/>
      <c r="K17" s="25"/>
      <c r="L17" s="22"/>
    </row>
    <row r="18" spans="1:12" x14ac:dyDescent="0.15">
      <c r="A18" s="5" t="s">
        <v>13</v>
      </c>
      <c r="B18" s="5" t="s">
        <v>0</v>
      </c>
      <c r="C18" s="5" t="s">
        <v>1</v>
      </c>
      <c r="D18" s="5" t="s">
        <v>11</v>
      </c>
      <c r="E18" s="5" t="s">
        <v>2</v>
      </c>
      <c r="F18" s="5" t="s">
        <v>3</v>
      </c>
      <c r="G18" s="5" t="s">
        <v>4</v>
      </c>
      <c r="H18" s="5" t="s">
        <v>23</v>
      </c>
      <c r="I18" s="5" t="s">
        <v>10</v>
      </c>
      <c r="J18" s="6" t="s">
        <v>18</v>
      </c>
      <c r="K18" s="6" t="s">
        <v>7</v>
      </c>
      <c r="L18" s="6" t="s">
        <v>19</v>
      </c>
    </row>
    <row r="19" spans="1:12" x14ac:dyDescent="0.15">
      <c r="A19" s="2">
        <v>1</v>
      </c>
      <c r="B19" s="2" t="s">
        <v>42</v>
      </c>
      <c r="C19" s="2">
        <v>1830</v>
      </c>
      <c r="D19" s="2"/>
      <c r="E19" s="2" t="s">
        <v>41</v>
      </c>
      <c r="F19" s="7" t="s">
        <v>43</v>
      </c>
      <c r="G19" s="7">
        <v>1</v>
      </c>
      <c r="H19" s="7" t="s">
        <v>39</v>
      </c>
      <c r="I19" s="7" t="s">
        <v>20</v>
      </c>
      <c r="J19" s="7" t="s">
        <v>40</v>
      </c>
      <c r="K19" s="7">
        <v>123.17</v>
      </c>
      <c r="L19" s="26">
        <f>+K19*G19</f>
        <v>123.17</v>
      </c>
    </row>
    <row r="20" spans="1:12" x14ac:dyDescent="0.15">
      <c r="A20" s="2"/>
      <c r="B20" s="2"/>
      <c r="C20" s="2"/>
      <c r="D20" s="2"/>
      <c r="E20" s="2"/>
      <c r="F20" s="7"/>
      <c r="G20" s="7"/>
      <c r="H20" s="7"/>
      <c r="I20" s="7"/>
      <c r="J20" s="7"/>
      <c r="K20" s="7"/>
      <c r="L20" s="26"/>
    </row>
    <row r="21" spans="1:12" x14ac:dyDescent="0.15">
      <c r="A21" s="2"/>
      <c r="B21" s="2"/>
      <c r="C21" s="2"/>
      <c r="D21" s="2"/>
      <c r="E21" s="2"/>
      <c r="F21" s="7"/>
      <c r="G21" s="7"/>
      <c r="H21" s="7"/>
      <c r="I21" s="7"/>
      <c r="J21" s="7"/>
      <c r="K21" s="7"/>
      <c r="L21" s="26"/>
    </row>
    <row r="22" spans="1:12" x14ac:dyDescent="0.15">
      <c r="A22" s="2"/>
      <c r="B22" s="2"/>
      <c r="C22" s="2"/>
      <c r="D22" s="2"/>
      <c r="E22" s="2"/>
      <c r="F22" s="7"/>
      <c r="G22" s="7"/>
      <c r="H22" s="7"/>
      <c r="I22" s="7"/>
      <c r="J22" s="7"/>
      <c r="K22" s="7"/>
      <c r="L22" s="26"/>
    </row>
    <row r="23" spans="1:12" x14ac:dyDescent="0.15">
      <c r="A23" s="2"/>
      <c r="B23" s="2"/>
      <c r="C23" s="2"/>
      <c r="D23" s="2"/>
      <c r="E23" s="2"/>
      <c r="F23" s="7"/>
      <c r="G23" s="7"/>
      <c r="H23" s="7"/>
      <c r="I23" s="7"/>
      <c r="J23" s="7"/>
      <c r="K23" s="7"/>
      <c r="L23" s="26"/>
    </row>
    <row r="24" spans="1:12" x14ac:dyDescent="0.15">
      <c r="A24" s="2"/>
      <c r="B24" s="2"/>
      <c r="C24" s="2"/>
      <c r="D24" s="2"/>
      <c r="E24" s="2"/>
      <c r="F24" s="7"/>
      <c r="G24" s="7"/>
      <c r="H24" s="7"/>
      <c r="I24" s="7"/>
      <c r="J24" s="7"/>
      <c r="K24" s="7"/>
      <c r="L24" s="26"/>
    </row>
    <row r="25" spans="1:12" x14ac:dyDescent="0.15">
      <c r="A25" s="2"/>
      <c r="B25" s="2"/>
      <c r="C25" s="2"/>
      <c r="E25" s="2"/>
      <c r="F25" s="7"/>
      <c r="G25" s="7"/>
      <c r="H25" s="7"/>
      <c r="I25" s="7"/>
      <c r="J25" s="7"/>
      <c r="K25" s="7"/>
      <c r="L25" s="26"/>
    </row>
    <row r="26" spans="1:12" x14ac:dyDescent="0.15">
      <c r="A26" s="2"/>
      <c r="B26" s="2"/>
      <c r="C26" s="2"/>
      <c r="D26" s="2"/>
      <c r="E26" s="2"/>
      <c r="F26" s="7"/>
      <c r="G26" s="7"/>
      <c r="H26" s="7"/>
      <c r="I26" s="7"/>
      <c r="J26" s="7"/>
      <c r="K26" s="7"/>
      <c r="L26" s="26"/>
    </row>
    <row r="27" spans="1:12" x14ac:dyDescent="0.15">
      <c r="A27" s="2"/>
      <c r="B27" s="2"/>
      <c r="C27" s="2"/>
      <c r="E27" s="2"/>
      <c r="F27" s="7"/>
      <c r="G27" s="7"/>
      <c r="H27" s="7"/>
      <c r="I27" s="7"/>
      <c r="J27" s="7"/>
      <c r="K27" s="7"/>
      <c r="L27" s="26"/>
    </row>
    <row r="28" spans="1:12" x14ac:dyDescent="0.15">
      <c r="A28" s="2"/>
      <c r="B28" s="2"/>
      <c r="C28" s="2"/>
      <c r="D28" s="2"/>
      <c r="E28" s="2"/>
      <c r="F28" s="7"/>
      <c r="G28" s="7"/>
      <c r="H28" s="7"/>
      <c r="I28" s="7"/>
      <c r="J28" s="7"/>
      <c r="K28" s="7"/>
      <c r="L28" s="26"/>
    </row>
    <row r="29" spans="1:12" x14ac:dyDescent="0.15">
      <c r="A29" s="2"/>
      <c r="B29" s="2"/>
      <c r="C29" s="2"/>
      <c r="D29" s="2"/>
      <c r="E29" s="2"/>
      <c r="F29" s="7"/>
      <c r="G29" s="7"/>
      <c r="H29" s="7"/>
      <c r="I29" s="7"/>
      <c r="J29" s="7"/>
      <c r="K29" s="7"/>
      <c r="L29" s="26"/>
    </row>
    <row r="30" spans="1:12" x14ac:dyDescent="0.15">
      <c r="A30" s="8" t="s">
        <v>6</v>
      </c>
      <c r="B30" s="8"/>
      <c r="C30" s="8"/>
      <c r="D30" s="8"/>
      <c r="E30" s="8"/>
      <c r="F30" s="8"/>
      <c r="G30" s="9"/>
      <c r="H30" s="8"/>
      <c r="I30" s="8"/>
      <c r="J30" s="8"/>
      <c r="K30" s="10" t="s">
        <v>8</v>
      </c>
      <c r="L30" s="27">
        <f>SUM(L19:L29)</f>
        <v>123.17</v>
      </c>
    </row>
    <row r="31" spans="1:12" x14ac:dyDescent="0.15">
      <c r="A31" s="8" t="s">
        <v>12</v>
      </c>
      <c r="B31" s="8"/>
      <c r="C31" s="8"/>
      <c r="D31" s="8"/>
      <c r="E31" s="8"/>
      <c r="F31" s="8"/>
      <c r="G31" s="8"/>
      <c r="H31" s="11"/>
      <c r="I31" s="11"/>
      <c r="J31" s="8"/>
      <c r="K31" s="12" t="s">
        <v>9</v>
      </c>
      <c r="L31" s="27">
        <f>SUM(L30*18/100)</f>
        <v>22.1706</v>
      </c>
    </row>
    <row r="32" spans="1:12" x14ac:dyDescent="0.15">
      <c r="H32" s="13"/>
      <c r="I32" s="13"/>
      <c r="K32" s="14" t="s">
        <v>5</v>
      </c>
      <c r="L32" s="27">
        <f>SUM(L30:L31)</f>
        <v>145.34059999999999</v>
      </c>
    </row>
    <row r="36" spans="10:12" x14ac:dyDescent="0.15">
      <c r="J36" s="13"/>
      <c r="L36" s="13"/>
    </row>
    <row r="39" spans="10:12" x14ac:dyDescent="0.15">
      <c r="J39" s="13"/>
      <c r="L39" s="13"/>
    </row>
  </sheetData>
  <mergeCells count="37">
    <mergeCell ref="K12:L12"/>
    <mergeCell ref="A14:C16"/>
    <mergeCell ref="E14:F14"/>
    <mergeCell ref="H14:J14"/>
    <mergeCell ref="E15:F15"/>
    <mergeCell ref="H15:J15"/>
    <mergeCell ref="E16:F16"/>
    <mergeCell ref="H16:J16"/>
    <mergeCell ref="A12:C12"/>
    <mergeCell ref="D12:E12"/>
    <mergeCell ref="G12:H12"/>
    <mergeCell ref="I12:J12"/>
    <mergeCell ref="A8:B8"/>
    <mergeCell ref="C8:L8"/>
    <mergeCell ref="A9:B9"/>
    <mergeCell ref="C9:L9"/>
    <mergeCell ref="A11:C11"/>
    <mergeCell ref="D11:E11"/>
    <mergeCell ref="G11:H11"/>
    <mergeCell ref="I11:J11"/>
    <mergeCell ref="K11:L11"/>
    <mergeCell ref="A5:B5"/>
    <mergeCell ref="C5:E5"/>
    <mergeCell ref="G5:H5"/>
    <mergeCell ref="I5:J5"/>
    <mergeCell ref="K5:L5"/>
    <mergeCell ref="A6:B6"/>
    <mergeCell ref="C6:E6"/>
    <mergeCell ref="G6:H6"/>
    <mergeCell ref="I6:J6"/>
    <mergeCell ref="K6:L6"/>
    <mergeCell ref="A1:D3"/>
    <mergeCell ref="E1:J1"/>
    <mergeCell ref="K1:L2"/>
    <mergeCell ref="E2:J2"/>
    <mergeCell ref="E3:J3"/>
    <mergeCell ref="K3:L3"/>
  </mergeCells>
  <conditionalFormatting sqref="A18">
    <cfRule type="containsText" dxfId="1" priority="3" operator="containsText" text="/">
      <formula>NOT(ISERROR(SEARCH("/",A18)))</formula>
    </cfRule>
  </conditionalFormatting>
  <conditionalFormatting sqref="F18:F30">
    <cfRule type="containsText" dxfId="0" priority="1" operator="containsText" text="/">
      <formula>NOT(ISERROR(SEARCH("/",F18)))</formula>
    </cfRule>
  </conditionalFormatting>
  <pageMargins left="0.7" right="0.7" top="0.75" bottom="0.75" header="0.3" footer="0.3"/>
  <pageSetup paperSize="9" scale="35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CF96F96-D6A3-4804-A7F2-41F1DAAA3E3D}">
          <x14:formula1>
            <xm:f>'C:\Users\PE01014491\Downloads\[V2 - Data Load - OOracle.xlsm]NI Creados'!#REF!</xm:f>
          </x14:formula1>
          <xm:sqref>D18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1F56BD2BAFD674C9642B557F06EE72B" ma:contentTypeVersion="12" ma:contentTypeDescription="Crear nuevo documento." ma:contentTypeScope="" ma:versionID="8983a4495f365aa185cfe5e5bfbdbc59">
  <xsd:schema xmlns:xsd="http://www.w3.org/2001/XMLSchema" xmlns:xs="http://www.w3.org/2001/XMLSchema" xmlns:p="http://schemas.microsoft.com/office/2006/metadata/properties" xmlns:ns3="be54648e-4530-4920-9168-9390739bc793" xmlns:ns4="804b555c-0359-42e7-af34-2bbae4681b31" targetNamespace="http://schemas.microsoft.com/office/2006/metadata/properties" ma:root="true" ma:fieldsID="025ec500371690e787156795a150b611" ns3:_="" ns4:_="">
    <xsd:import namespace="be54648e-4530-4920-9168-9390739bc793"/>
    <xsd:import namespace="804b555c-0359-42e7-af34-2bbae4681b3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DateTaken" minOccurs="0"/>
                <xsd:element ref="ns4:MediaLengthInSecond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54648e-4530-4920-9168-9390739bc79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4b555c-0359-42e7-af34-2bbae4681b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0C581CF-61AA-49F8-8D34-8ABDD8EC19C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19ED936-C431-4AB4-960B-93C90BFFE2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54648e-4530-4920-9168-9390739bc793"/>
    <ds:schemaRef ds:uri="804b555c-0359-42e7-af34-2bbae4681b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330CE68-F3F5-4B8F-AA29-A33182353BB0}">
  <ds:schemaRefs>
    <ds:schemaRef ds:uri="http://purl.org/dc/dcmitype/"/>
    <ds:schemaRef ds:uri="http://purl.org/dc/elements/1.1/"/>
    <ds:schemaRef ds:uri="be54648e-4530-4920-9168-9390739bc793"/>
    <ds:schemaRef ds:uri="804b555c-0359-42e7-af34-2bbae4681b31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Metadata/LabelInfo.xml><?xml version="1.0" encoding="utf-8"?>
<clbl:labelList xmlns:clbl="http://schemas.microsoft.com/office/2020/mipLabelMetadata">
  <clbl:label id="{68485601-fbbc-47c6-b156-3e1a7e0a4434}" enabled="0" method="" siteId="{68485601-fbbc-47c6-b156-3e1a7e0a443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 Proveedores (2)</vt:lpstr>
    </vt:vector>
  </TitlesOfParts>
  <Company>PROSEGUR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Herminio Eguizabal</dc:creator>
  <cp:lastModifiedBy>Frank Melek Rodriguez Mirano</cp:lastModifiedBy>
  <cp:lastPrinted>2025-12-23T22:20:45Z</cp:lastPrinted>
  <dcterms:created xsi:type="dcterms:W3CDTF">2022-04-25T05:16:50Z</dcterms:created>
  <dcterms:modified xsi:type="dcterms:W3CDTF">2026-10-15T20:31:29Z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0x010100A1F56BD2BAFD674C9642B557F06EE72B</vt:lpwstr>
  </property>
  <property fmtid="{D5CDD505-2E9C-101B-9397-08002B2CF9AE}" pid="3" name="MSIP_Label_defa4170-0d19-0005-0004-bc88714345d2_Enabled">
    <vt:lpwstr>true</vt:lpwstr>
  </property>
  <property fmtid="{D5CDD505-2E9C-101B-9397-08002B2CF9AE}" pid="4" name="MSIP_Label_defa4170-0d19-0005-0004-bc88714345d2_SetDate">
    <vt:lpwstr>2025-05-12T15:26:23Z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iteId">
    <vt:lpwstr>4afc811c-91ba-4ca2-8131-bf65c0ca06ec</vt:lpwstr>
  </property>
  <property fmtid="{D5CDD505-2E9C-101B-9397-08002B2CF9AE}" pid="8" name="MSIP_Label_defa4170-0d19-0005-0004-bc88714345d2_ActionId">
    <vt:lpwstr>a833ec46-e093-4963-aa05-23c1fd0f35b7</vt:lpwstr>
  </property>
  <property fmtid="{D5CDD505-2E9C-101B-9397-08002B2CF9AE}" pid="9" name="MSIP_Label_defa4170-0d19-0005-0004-bc88714345d2_ContentBits">
    <vt:lpwstr>0</vt:lpwstr>
  </property>
  <property fmtid="{D5CDD505-2E9C-101B-9397-08002B2CF9AE}" pid="10" name="MSIP_Label_defa4170-0d19-0005-0004-bc88714345d2_Tag">
    <vt:lpwstr>10, 3, 0, 1</vt:lpwstr>
  </property>
</Properties>
</file>